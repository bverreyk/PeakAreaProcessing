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cuments\Projects\BERTRAC\Mz_attribution_reanalysis_for_data_paper_CD\"/>
    </mc:Choice>
  </mc:AlternateContent>
  <xr:revisionPtr revIDLastSave="0" documentId="13_ncr:1_{51579A8B-EA5D-4B5A-B866-375A025207EC}" xr6:coauthVersionLast="47" xr6:coauthVersionMax="47" xr10:uidLastSave="{00000000-0000-0000-0000-000000000000}"/>
  <bookViews>
    <workbookView xWindow="28680" yWindow="375" windowWidth="25440" windowHeight="15270" xr2:uid="{8A985598-A211-4111-A87E-0180DBFA0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L27" i="1"/>
  <c r="K25" i="1"/>
  <c r="L25" i="1"/>
  <c r="K22" i="1"/>
  <c r="L22" i="1"/>
  <c r="K20" i="1"/>
  <c r="L20" i="1"/>
  <c r="K31" i="1"/>
  <c r="L31" i="1"/>
  <c r="P5" i="1"/>
  <c r="P7" i="1"/>
  <c r="P9" i="1"/>
  <c r="P10" i="1"/>
  <c r="P11" i="1"/>
  <c r="P12" i="1"/>
  <c r="P13" i="1"/>
  <c r="P14" i="1"/>
  <c r="P15" i="1"/>
  <c r="P16" i="1"/>
  <c r="P17" i="1"/>
  <c r="P18" i="1"/>
  <c r="P19" i="1"/>
  <c r="P21" i="1"/>
  <c r="P23" i="1"/>
  <c r="P24" i="1"/>
  <c r="P26" i="1"/>
  <c r="P28" i="1"/>
  <c r="P29" i="1"/>
  <c r="P30" i="1"/>
  <c r="P32" i="1"/>
  <c r="P3" i="1"/>
  <c r="L5" i="1"/>
  <c r="L7" i="1"/>
  <c r="L9" i="1"/>
  <c r="L10" i="1"/>
  <c r="L11" i="1"/>
  <c r="L12" i="1"/>
  <c r="L13" i="1"/>
  <c r="L14" i="1"/>
  <c r="L15" i="1"/>
  <c r="L16" i="1"/>
  <c r="L17" i="1"/>
  <c r="L18" i="1"/>
  <c r="L19" i="1"/>
  <c r="L21" i="1"/>
  <c r="L23" i="1"/>
  <c r="L24" i="1"/>
  <c r="L26" i="1"/>
  <c r="L28" i="1"/>
  <c r="L29" i="1"/>
  <c r="L30" i="1"/>
  <c r="L3" i="1"/>
  <c r="K5" i="1" l="1"/>
  <c r="K7" i="1"/>
  <c r="K9" i="1"/>
  <c r="K10" i="1"/>
  <c r="K11" i="1"/>
  <c r="K12" i="1"/>
  <c r="K13" i="1"/>
  <c r="K14" i="1"/>
  <c r="K15" i="1"/>
  <c r="K16" i="1"/>
  <c r="K17" i="1"/>
  <c r="K18" i="1"/>
  <c r="K19" i="1"/>
  <c r="K21" i="1"/>
  <c r="K23" i="1"/>
  <c r="K24" i="1"/>
  <c r="K26" i="1"/>
  <c r="K28" i="1"/>
  <c r="K29" i="1"/>
  <c r="K30" i="1"/>
  <c r="K3" i="1"/>
</calcChain>
</file>

<file path=xl/sharedStrings.xml><?xml version="1.0" encoding="utf-8"?>
<sst xmlns="http://schemas.openxmlformats.org/spreadsheetml/2006/main" count="119" uniqueCount="111">
  <si>
    <t>m/z</t>
  </si>
  <si>
    <t>compound</t>
  </si>
  <si>
    <t>CAS#</t>
  </si>
  <si>
    <t>methanol</t>
  </si>
  <si>
    <t>acetaldehyde</t>
  </si>
  <si>
    <t>ethanol</t>
  </si>
  <si>
    <t>acetonitrile</t>
  </si>
  <si>
    <t>acetone</t>
  </si>
  <si>
    <t>isoprene</t>
  </si>
  <si>
    <t>methacrolein</t>
  </si>
  <si>
    <t>methyl vinyl ketone</t>
  </si>
  <si>
    <t>methyl ethyl ketone</t>
  </si>
  <si>
    <t>benzene</t>
  </si>
  <si>
    <t>cis-3-hexenol</t>
  </si>
  <si>
    <t>toluene</t>
  </si>
  <si>
    <t>m-xylene</t>
  </si>
  <si>
    <t>sabinene</t>
  </si>
  <si>
    <t>1,2,4-trimethylbenzene</t>
  </si>
  <si>
    <t>75-07-0</t>
  </si>
  <si>
    <t>67-56-1</t>
  </si>
  <si>
    <t>64-17-5</t>
  </si>
  <si>
    <t>75-05-8</t>
  </si>
  <si>
    <t>67-64-1</t>
  </si>
  <si>
    <t>78-79-5</t>
  </si>
  <si>
    <t>78-85-3</t>
  </si>
  <si>
    <t>78-94-4</t>
  </si>
  <si>
    <t>78-93-3</t>
  </si>
  <si>
    <t>71-43-2</t>
  </si>
  <si>
    <t>928-96-1</t>
  </si>
  <si>
    <t>108-88-3</t>
  </si>
  <si>
    <t>108-38-3</t>
  </si>
  <si>
    <t>3387-41-5</t>
  </si>
  <si>
    <t>95-63-6</t>
  </si>
  <si>
    <t>k_Ionicon (cal/tr)</t>
  </si>
  <si>
    <t>fr (cal/tr)</t>
  </si>
  <si>
    <t>alpha</t>
  </si>
  <si>
    <t>mu</t>
  </si>
  <si>
    <t>k_Su94</t>
  </si>
  <si>
    <t>3,21 [C]</t>
  </si>
  <si>
    <t>1,65 [C]</t>
  </si>
  <si>
    <t>4,42 [C]</t>
  </si>
  <si>
    <t>4,04 [C]</t>
  </si>
  <si>
    <t>4,58 [C]</t>
  </si>
  <si>
    <t>1,58 [C]</t>
  </si>
  <si>
    <t>2,88 [C]</t>
  </si>
  <si>
    <t>5,04 [C]</t>
  </si>
  <si>
    <t>5,26 [P]</t>
  </si>
  <si>
    <t>1,69 [P]</t>
  </si>
  <si>
    <t>2,88 [P]</t>
  </si>
  <si>
    <t>6,39 [C]</t>
  </si>
  <si>
    <t>3,11 [C]</t>
  </si>
  <si>
    <t>9,99 [P]</t>
  </si>
  <si>
    <t>0,25 [P]</t>
  </si>
  <si>
    <t>10,30 [C]</t>
  </si>
  <si>
    <t>0,28 [C]</t>
  </si>
  <si>
    <t>8,23 [QM,M]</t>
  </si>
  <si>
    <t>8,41 [C]</t>
  </si>
  <si>
    <t>2,80 [C]</t>
  </si>
  <si>
    <t>3,07 [QM,M]</t>
  </si>
  <si>
    <t>3,40 [QM,M]</t>
  </si>
  <si>
    <t>8,19 [C]</t>
  </si>
  <si>
    <t>8,17 [C]</t>
  </si>
  <si>
    <t>2,96 [C]</t>
  </si>
  <si>
    <t>10,4 [C]</t>
  </si>
  <si>
    <t>0,00 [C]</t>
  </si>
  <si>
    <t>12,6 [CA]</t>
  </si>
  <si>
    <t>1,65 [CA]</t>
  </si>
  <si>
    <t>12,25 [C]</t>
  </si>
  <si>
    <t>0,41 [C]</t>
  </si>
  <si>
    <t>13,95 []</t>
  </si>
  <si>
    <t>0,37 []</t>
  </si>
  <si>
    <t>15,03 [C]</t>
  </si>
  <si>
    <t>0,27 [C]</t>
  </si>
  <si>
    <t>17,17 [C]</t>
  </si>
  <si>
    <t>0,29 [C]</t>
  </si>
  <si>
    <t>k_Su94/k_Ionicon</t>
  </si>
  <si>
    <t>100*(k_Su94-k_Ionicon)/k_Ionicon</t>
  </si>
  <si>
    <t xml:space="preserve">concentration </t>
  </si>
  <si>
    <t>(ppbv)</t>
  </si>
  <si>
    <t>(%)</t>
  </si>
  <si>
    <t>uncertainty (2k)</t>
  </si>
  <si>
    <t>(1E-9 cm^3/molecule.s)</t>
  </si>
  <si>
    <t>1E-30 m^3</t>
  </si>
  <si>
    <t>(Debye)</t>
  </si>
  <si>
    <t>CC_calc</t>
  </si>
  <si>
    <t>(tc-ncps/ppbv)</t>
  </si>
  <si>
    <t>Y_MH+</t>
  </si>
  <si>
    <t>CC_calc_BV</t>
  </si>
  <si>
    <t>100*(CC_calc-CC_calc_BV)/CC_calc_BV</t>
  </si>
  <si>
    <t>3,28 [P]</t>
  </si>
  <si>
    <t>1,70 [P]</t>
  </si>
  <si>
    <t>4,44 [P]</t>
  </si>
  <si>
    <t>3,93 [P]</t>
  </si>
  <si>
    <t>4,60 [P]</t>
  </si>
  <si>
    <t>2,75 [P]</t>
  </si>
  <si>
    <t>6,37 [P]</t>
  </si>
  <si>
    <t>8,13 [P]</t>
  </si>
  <si>
    <t>2,78 [P]</t>
  </si>
  <si>
    <t>10,4 [P]</t>
  </si>
  <si>
    <t>0,00 [P]</t>
  </si>
  <si>
    <t>12,1 [P]</t>
  </si>
  <si>
    <t>0,38 [P]</t>
  </si>
  <si>
    <t>14,2 [P]</t>
  </si>
  <si>
    <t>0,3 [P]</t>
  </si>
  <si>
    <t>17,17 [P]</t>
  </si>
  <si>
    <t>0,4 [P]</t>
  </si>
  <si>
    <t>trichlorobenzene</t>
  </si>
  <si>
    <t>108-70-3</t>
  </si>
  <si>
    <t>?</t>
  </si>
  <si>
    <t>14,93 [C]</t>
  </si>
  <si>
    <t>nieuwe k-waarden in het groen 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</si>
</sst>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1" fontId="0" fillId="2" borderId="0" xfId="0" applyNumberFormat="1" applyFill="1" applyAlignment="1">
      <alignment horizontal="center"/>
    </xf>
    <xf numFmtId="1" fontId="0" fillId="2" borderId="1" xfId="0" applyNumberFormat="1" applyFill="1" applyBorder="1"/>
    <xf numFmtId="1" fontId="0" fillId="2" borderId="2" xfId="0" applyNumberFormat="1" applyFill="1" applyBorder="1" applyAlignment="1">
      <alignment horizontal="center"/>
    </xf>
    <xf numFmtId="1" fontId="0" fillId="2" borderId="2" xfId="0" applyNumberFormat="1" applyFill="1" applyBorder="1"/>
    <xf numFmtId="1" fontId="0" fillId="2" borderId="3" xfId="0" applyNumberFormat="1" applyFill="1" applyBorder="1"/>
    <xf numFmtId="1" fontId="0" fillId="3" borderId="2" xfId="0" applyNumberFormat="1" applyFill="1" applyBorder="1"/>
    <xf numFmtId="1" fontId="0" fillId="3" borderId="3" xfId="0" applyNumberFormat="1" applyFill="1" applyBorder="1"/>
    <xf numFmtId="1" fontId="0" fillId="3" borderId="2" xfId="0" applyNumberForma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3" borderId="0" xfId="0" applyNumberFormat="1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/>
    <xf numFmtId="0" fontId="0" fillId="4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CA81-A700-4FE0-ADF5-97E8978DF872}">
  <dimension ref="A1:P35"/>
  <sheetViews>
    <sheetView tabSelected="1" topLeftCell="A10" zoomScale="110" zoomScaleNormal="110" workbookViewId="0">
      <selection activeCell="G35" sqref="G35:H35"/>
    </sheetView>
  </sheetViews>
  <sheetFormatPr defaultRowHeight="14.5" x14ac:dyDescent="0.35"/>
  <cols>
    <col min="1" max="1" width="15" customWidth="1"/>
    <col min="2" max="2" width="23.81640625" customWidth="1"/>
    <col min="3" max="3" width="14.1796875" style="1" customWidth="1"/>
    <col min="4" max="4" width="22.7265625" customWidth="1"/>
    <col min="5" max="5" width="16.81640625" customWidth="1"/>
    <col min="6" max="6" width="22.453125" customWidth="1"/>
    <col min="7" max="7" width="15.453125" customWidth="1"/>
    <col min="8" max="8" width="16" customWidth="1"/>
    <col min="9" max="9" width="11.81640625" customWidth="1"/>
    <col min="10" max="10" width="20.26953125" customWidth="1"/>
    <col min="11" max="11" width="20.54296875" customWidth="1"/>
    <col min="12" max="13" width="30.1796875" customWidth="1"/>
    <col min="14" max="14" width="22" customWidth="1"/>
    <col min="15" max="15" width="21.1796875" customWidth="1"/>
    <col min="16" max="16" width="38.36328125" customWidth="1"/>
  </cols>
  <sheetData>
    <row r="1" spans="1:16" x14ac:dyDescent="0.35">
      <c r="A1" t="s">
        <v>0</v>
      </c>
      <c r="B1" t="s">
        <v>1</v>
      </c>
      <c r="C1" s="1" t="s">
        <v>2</v>
      </c>
      <c r="D1" s="1" t="s">
        <v>77</v>
      </c>
      <c r="E1" s="1" t="s">
        <v>80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75</v>
      </c>
      <c r="L1" s="3" t="s">
        <v>76</v>
      </c>
      <c r="M1" s="3" t="s">
        <v>86</v>
      </c>
      <c r="N1" s="3" t="s">
        <v>84</v>
      </c>
      <c r="O1" s="3" t="s">
        <v>87</v>
      </c>
      <c r="P1" s="3" t="s">
        <v>88</v>
      </c>
    </row>
    <row r="2" spans="1:16" x14ac:dyDescent="0.35">
      <c r="D2" s="1" t="s">
        <v>78</v>
      </c>
      <c r="E2" s="1" t="s">
        <v>79</v>
      </c>
      <c r="F2" s="1" t="s">
        <v>81</v>
      </c>
      <c r="G2" s="1"/>
      <c r="H2" s="1" t="s">
        <v>82</v>
      </c>
      <c r="I2" s="1" t="s">
        <v>83</v>
      </c>
      <c r="J2" s="1" t="s">
        <v>81</v>
      </c>
      <c r="K2" s="1"/>
      <c r="L2" s="3" t="s">
        <v>79</v>
      </c>
      <c r="M2" s="3" t="s">
        <v>79</v>
      </c>
      <c r="N2" s="3" t="s">
        <v>85</v>
      </c>
      <c r="O2" s="3" t="s">
        <v>85</v>
      </c>
      <c r="P2" s="3" t="s">
        <v>79</v>
      </c>
    </row>
    <row r="3" spans="1:16" x14ac:dyDescent="0.35">
      <c r="A3" s="8">
        <v>33.033499999999997</v>
      </c>
      <c r="B3" s="8" t="s">
        <v>3</v>
      </c>
      <c r="C3" s="9" t="s">
        <v>19</v>
      </c>
      <c r="D3" s="9">
        <v>1030</v>
      </c>
      <c r="E3" s="9">
        <v>4.5999999999999996</v>
      </c>
      <c r="F3" s="9">
        <v>2.2000000000000002</v>
      </c>
      <c r="G3" s="9">
        <v>1.01</v>
      </c>
      <c r="H3" s="9" t="s">
        <v>38</v>
      </c>
      <c r="I3" s="9" t="s">
        <v>39</v>
      </c>
      <c r="J3" s="9">
        <v>2.1459999999999999</v>
      </c>
      <c r="K3" s="10">
        <f>J3/F3</f>
        <v>0.97545454545454535</v>
      </c>
      <c r="L3" s="21">
        <f>100*(J3-F3)/F3</f>
        <v>-2.4545454545454666</v>
      </c>
      <c r="M3" s="11">
        <v>100</v>
      </c>
      <c r="N3" s="10">
        <v>16.512</v>
      </c>
      <c r="O3" s="8">
        <v>13.68</v>
      </c>
      <c r="P3" s="19">
        <f>100*(N3-O3)/O3</f>
        <v>20.701754385964914</v>
      </c>
    </row>
    <row r="4" spans="1:16" x14ac:dyDescent="0.35">
      <c r="A4" s="30"/>
      <c r="B4" s="30"/>
      <c r="C4" s="31"/>
      <c r="D4" s="31"/>
      <c r="E4" s="31"/>
      <c r="F4" s="31">
        <v>2.2000000000000002</v>
      </c>
      <c r="G4" s="31"/>
      <c r="H4" s="31" t="s">
        <v>89</v>
      </c>
      <c r="I4" s="31" t="s">
        <v>90</v>
      </c>
      <c r="J4" s="35">
        <v>2.1960000000000002</v>
      </c>
      <c r="K4" s="32"/>
      <c r="L4" s="33"/>
      <c r="M4" s="34"/>
      <c r="N4" s="32"/>
      <c r="O4" s="30"/>
      <c r="P4" s="20"/>
    </row>
    <row r="5" spans="1:16" x14ac:dyDescent="0.35">
      <c r="A5">
        <v>42.033799999999999</v>
      </c>
      <c r="B5" t="s">
        <v>6</v>
      </c>
      <c r="C5" s="1" t="s">
        <v>21</v>
      </c>
      <c r="D5" s="1">
        <v>537</v>
      </c>
      <c r="E5" s="1">
        <v>3.7</v>
      </c>
      <c r="F5" s="1">
        <v>4.4000000000000004</v>
      </c>
      <c r="G5" s="1">
        <v>1.03</v>
      </c>
      <c r="H5" s="1" t="s">
        <v>40</v>
      </c>
      <c r="I5" s="1" t="s">
        <v>41</v>
      </c>
      <c r="J5" s="1">
        <v>3.8540000000000001</v>
      </c>
      <c r="K5" s="2">
        <f t="shared" ref="K5:K31" si="0">J5/F5</f>
        <v>0.87590909090909086</v>
      </c>
      <c r="L5" s="14">
        <f t="shared" ref="L5:L31" si="1">100*(J5-F5)/F5</f>
        <v>-12.409090909090914</v>
      </c>
      <c r="M5" s="3">
        <v>100</v>
      </c>
      <c r="N5" s="2">
        <v>23.5123</v>
      </c>
      <c r="O5">
        <v>27.04</v>
      </c>
      <c r="P5" s="18">
        <f t="shared" ref="P5:P32" si="2">100*(N5-O5)/O5</f>
        <v>-13.046227810650885</v>
      </c>
    </row>
    <row r="6" spans="1:16" x14ac:dyDescent="0.35">
      <c r="D6" s="1"/>
      <c r="E6" s="1"/>
      <c r="F6" s="1">
        <v>4.4000000000000004</v>
      </c>
      <c r="G6" s="1"/>
      <c r="H6" s="1" t="s">
        <v>91</v>
      </c>
      <c r="I6" s="1" t="s">
        <v>92</v>
      </c>
      <c r="J6" s="36">
        <v>3.782</v>
      </c>
      <c r="K6" s="2"/>
      <c r="L6" s="14"/>
      <c r="M6" s="3"/>
      <c r="N6" s="2"/>
      <c r="P6" s="17"/>
    </row>
    <row r="7" spans="1:16" x14ac:dyDescent="0.35">
      <c r="A7" s="8">
        <v>45.033499999999997</v>
      </c>
      <c r="B7" s="8" t="s">
        <v>4</v>
      </c>
      <c r="C7" s="9" t="s">
        <v>18</v>
      </c>
      <c r="D7" s="9">
        <v>991</v>
      </c>
      <c r="E7" s="9">
        <v>3.3</v>
      </c>
      <c r="F7" s="9">
        <v>3.03</v>
      </c>
      <c r="G7" s="9">
        <v>1.02</v>
      </c>
      <c r="H7" s="9" t="s">
        <v>42</v>
      </c>
      <c r="I7" s="9" t="s">
        <v>44</v>
      </c>
      <c r="J7" s="9">
        <v>3.0470000000000002</v>
      </c>
      <c r="K7" s="10">
        <f t="shared" si="0"/>
        <v>1.0056105610561057</v>
      </c>
      <c r="L7" s="16">
        <f t="shared" si="1"/>
        <v>0.56105610561057262</v>
      </c>
      <c r="M7" s="11">
        <v>100</v>
      </c>
      <c r="N7" s="10">
        <v>18.7713</v>
      </c>
      <c r="O7" s="8">
        <v>18.64</v>
      </c>
      <c r="P7" s="17">
        <f t="shared" si="2"/>
        <v>0.70439914163089878</v>
      </c>
    </row>
    <row r="8" spans="1:16" x14ac:dyDescent="0.35">
      <c r="A8" s="25"/>
      <c r="B8" s="25"/>
      <c r="C8" s="26"/>
      <c r="D8" s="26"/>
      <c r="E8" s="26"/>
      <c r="F8" s="26">
        <v>3.03</v>
      </c>
      <c r="G8" s="26"/>
      <c r="H8" s="26" t="s">
        <v>93</v>
      </c>
      <c r="I8" s="26" t="s">
        <v>94</v>
      </c>
      <c r="J8" s="39">
        <v>2.9620000000000002</v>
      </c>
      <c r="K8" s="27"/>
      <c r="L8" s="37"/>
      <c r="M8" s="28"/>
      <c r="N8" s="27"/>
      <c r="O8" s="25"/>
      <c r="P8" s="38"/>
    </row>
    <row r="9" spans="1:16" x14ac:dyDescent="0.35">
      <c r="A9" s="8">
        <v>47.049100000000003</v>
      </c>
      <c r="B9" s="8" t="s">
        <v>5</v>
      </c>
      <c r="C9" s="9" t="s">
        <v>20</v>
      </c>
      <c r="D9" s="9">
        <v>537</v>
      </c>
      <c r="E9" s="9">
        <v>3.7</v>
      </c>
      <c r="F9" s="9">
        <v>3</v>
      </c>
      <c r="G9" s="9">
        <v>1.03</v>
      </c>
      <c r="H9" s="9" t="s">
        <v>46</v>
      </c>
      <c r="I9" s="9" t="s">
        <v>47</v>
      </c>
      <c r="J9" s="9">
        <v>2.1739999999999999</v>
      </c>
      <c r="K9" s="10">
        <f t="shared" si="0"/>
        <v>0.72466666666666668</v>
      </c>
      <c r="L9" s="21">
        <f t="shared" si="1"/>
        <v>-27.533333333333335</v>
      </c>
      <c r="M9" s="11">
        <v>100</v>
      </c>
      <c r="N9" s="10">
        <v>13.2631</v>
      </c>
      <c r="O9" s="8">
        <v>2.2999999999999998</v>
      </c>
      <c r="P9" s="19">
        <f t="shared" si="2"/>
        <v>476.65652173913054</v>
      </c>
    </row>
    <row r="10" spans="1:16" x14ac:dyDescent="0.35">
      <c r="D10" s="1"/>
      <c r="E10" s="1">
        <v>3.7</v>
      </c>
      <c r="F10" s="1">
        <v>3</v>
      </c>
      <c r="G10" s="1"/>
      <c r="H10" s="1" t="s">
        <v>45</v>
      </c>
      <c r="I10" s="1" t="s">
        <v>43</v>
      </c>
      <c r="J10" s="1">
        <v>2.0590000000000002</v>
      </c>
      <c r="K10" s="2">
        <f t="shared" si="0"/>
        <v>0.68633333333333335</v>
      </c>
      <c r="L10" s="22">
        <f t="shared" si="1"/>
        <v>-31.36666666666666</v>
      </c>
      <c r="M10" s="3">
        <v>100</v>
      </c>
      <c r="N10" s="2">
        <v>12.561500000000001</v>
      </c>
      <c r="O10">
        <v>2.2999999999999998</v>
      </c>
      <c r="P10" s="20">
        <f t="shared" si="2"/>
        <v>446.15217391304355</v>
      </c>
    </row>
    <row r="11" spans="1:16" x14ac:dyDescent="0.35">
      <c r="A11" s="8">
        <v>59.049100000000003</v>
      </c>
      <c r="B11" s="8" t="s">
        <v>7</v>
      </c>
      <c r="C11" s="9" t="s">
        <v>22</v>
      </c>
      <c r="D11" s="9">
        <v>1006</v>
      </c>
      <c r="E11" s="9">
        <v>3.6</v>
      </c>
      <c r="F11" s="9">
        <v>3.7</v>
      </c>
      <c r="G11" s="9">
        <v>1.04</v>
      </c>
      <c r="H11" s="9" t="s">
        <v>95</v>
      </c>
      <c r="I11" s="9" t="s">
        <v>48</v>
      </c>
      <c r="J11" s="40">
        <v>3.0950000000000002</v>
      </c>
      <c r="K11" s="10">
        <f t="shared" si="0"/>
        <v>0.83648648648648649</v>
      </c>
      <c r="L11" s="16">
        <f t="shared" si="1"/>
        <v>-16.351351351351351</v>
      </c>
      <c r="M11" s="11">
        <v>100</v>
      </c>
      <c r="N11" s="10">
        <v>18.700299999999999</v>
      </c>
      <c r="O11" s="8">
        <v>22.53</v>
      </c>
      <c r="P11" s="17">
        <f t="shared" si="2"/>
        <v>-16.998224589436319</v>
      </c>
    </row>
    <row r="12" spans="1:16" x14ac:dyDescent="0.35">
      <c r="D12" s="1"/>
      <c r="E12" s="1">
        <v>3.6</v>
      </c>
      <c r="F12" s="1">
        <v>3.7</v>
      </c>
      <c r="G12" s="1"/>
      <c r="H12" s="1" t="s">
        <v>49</v>
      </c>
      <c r="I12" s="1" t="s">
        <v>50</v>
      </c>
      <c r="J12" s="1">
        <v>3.2480000000000002</v>
      </c>
      <c r="K12" s="2">
        <f t="shared" si="0"/>
        <v>0.87783783783783786</v>
      </c>
      <c r="L12" s="14">
        <f t="shared" si="1"/>
        <v>-12.216216216216214</v>
      </c>
      <c r="M12" s="3">
        <v>100</v>
      </c>
      <c r="N12" s="2">
        <v>19.6248</v>
      </c>
      <c r="O12">
        <v>22.53</v>
      </c>
      <c r="P12" s="18">
        <f t="shared" si="2"/>
        <v>-12.894806924101202</v>
      </c>
    </row>
    <row r="13" spans="1:16" x14ac:dyDescent="0.35">
      <c r="A13" s="8">
        <v>69.069900000000004</v>
      </c>
      <c r="B13" s="8" t="s">
        <v>8</v>
      </c>
      <c r="C13" s="9" t="s">
        <v>23</v>
      </c>
      <c r="D13" s="9">
        <v>499</v>
      </c>
      <c r="E13" s="9">
        <v>3.3</v>
      </c>
      <c r="F13" s="9">
        <v>1.85</v>
      </c>
      <c r="G13" s="9">
        <v>1.06</v>
      </c>
      <c r="H13" s="9" t="s">
        <v>51</v>
      </c>
      <c r="I13" s="9" t="s">
        <v>52</v>
      </c>
      <c r="J13" s="9">
        <v>1.925</v>
      </c>
      <c r="K13" s="10">
        <f t="shared" si="0"/>
        <v>1.0405405405405406</v>
      </c>
      <c r="L13" s="21">
        <f t="shared" si="1"/>
        <v>4.0540540540540517</v>
      </c>
      <c r="M13" s="11">
        <v>100</v>
      </c>
      <c r="N13" s="10">
        <v>11.4116</v>
      </c>
      <c r="O13" s="8">
        <v>8.89</v>
      </c>
      <c r="P13" s="19">
        <f t="shared" si="2"/>
        <v>28.364454443194592</v>
      </c>
    </row>
    <row r="14" spans="1:16" x14ac:dyDescent="0.35">
      <c r="D14" s="1"/>
      <c r="E14" s="1">
        <v>3.3</v>
      </c>
      <c r="F14" s="1">
        <v>1.85</v>
      </c>
      <c r="G14" s="1"/>
      <c r="H14" s="1" t="s">
        <v>53</v>
      </c>
      <c r="I14" s="1" t="s">
        <v>54</v>
      </c>
      <c r="J14" s="1">
        <v>1.956</v>
      </c>
      <c r="K14" s="2">
        <f t="shared" si="0"/>
        <v>1.0572972972972972</v>
      </c>
      <c r="L14" s="22">
        <f t="shared" si="1"/>
        <v>5.7297297297297227</v>
      </c>
      <c r="M14" s="3">
        <v>100</v>
      </c>
      <c r="N14" s="2">
        <v>11.5954</v>
      </c>
      <c r="O14">
        <v>8.89</v>
      </c>
      <c r="P14" s="20">
        <f t="shared" si="2"/>
        <v>30.431946006749143</v>
      </c>
    </row>
    <row r="15" spans="1:16" x14ac:dyDescent="0.35">
      <c r="A15" s="8">
        <v>71.049099999999996</v>
      </c>
      <c r="B15" s="8" t="s">
        <v>9</v>
      </c>
      <c r="C15" s="9" t="s">
        <v>24</v>
      </c>
      <c r="D15" s="9">
        <v>477</v>
      </c>
      <c r="E15" s="9">
        <v>3.4</v>
      </c>
      <c r="F15" s="9">
        <v>2.72</v>
      </c>
      <c r="G15" s="9">
        <v>1.05</v>
      </c>
      <c r="H15" s="9" t="s">
        <v>55</v>
      </c>
      <c r="I15" s="9" t="s">
        <v>58</v>
      </c>
      <c r="J15" s="40">
        <v>3.2869999999999999</v>
      </c>
      <c r="K15" s="10">
        <f t="shared" si="0"/>
        <v>1.208455882352941</v>
      </c>
      <c r="L15" s="16">
        <f t="shared" si="1"/>
        <v>20.845588235294105</v>
      </c>
      <c r="M15" s="11">
        <v>100</v>
      </c>
      <c r="N15" s="10">
        <v>19.671299999999999</v>
      </c>
      <c r="O15" s="8">
        <v>16.54</v>
      </c>
      <c r="P15" s="17">
        <f t="shared" si="2"/>
        <v>18.931680773881496</v>
      </c>
    </row>
    <row r="16" spans="1:16" x14ac:dyDescent="0.35">
      <c r="D16" s="1"/>
      <c r="E16" s="1">
        <v>3.4</v>
      </c>
      <c r="F16" s="1">
        <v>2.72</v>
      </c>
      <c r="G16" s="1"/>
      <c r="H16" s="1" t="s">
        <v>56</v>
      </c>
      <c r="I16" s="1" t="s">
        <v>57</v>
      </c>
      <c r="J16" s="1">
        <v>3.0950000000000002</v>
      </c>
      <c r="K16" s="2">
        <f t="shared" si="0"/>
        <v>1.1378676470588236</v>
      </c>
      <c r="L16" s="14">
        <f t="shared" si="1"/>
        <v>13.786764705882351</v>
      </c>
      <c r="M16" s="3">
        <v>100</v>
      </c>
      <c r="N16" s="2">
        <v>19.785</v>
      </c>
      <c r="O16">
        <v>16.54</v>
      </c>
      <c r="P16" s="18">
        <f t="shared" si="2"/>
        <v>19.619105199516333</v>
      </c>
    </row>
    <row r="17" spans="1:16" x14ac:dyDescent="0.35">
      <c r="A17" s="8">
        <v>71.049099999999996</v>
      </c>
      <c r="B17" s="8" t="s">
        <v>10</v>
      </c>
      <c r="C17" s="9" t="s">
        <v>25</v>
      </c>
      <c r="D17" s="9">
        <v>514</v>
      </c>
      <c r="E17" s="9">
        <v>3.3</v>
      </c>
      <c r="F17" s="9">
        <v>2.72</v>
      </c>
      <c r="G17" s="9">
        <v>1.05</v>
      </c>
      <c r="H17" s="9" t="s">
        <v>55</v>
      </c>
      <c r="I17" s="9" t="s">
        <v>59</v>
      </c>
      <c r="J17" s="40">
        <v>3.5059999999999998</v>
      </c>
      <c r="K17" s="10">
        <f t="shared" si="0"/>
        <v>1.288970588235294</v>
      </c>
      <c r="L17" s="16">
        <f t="shared" si="1"/>
        <v>28.897058823529399</v>
      </c>
      <c r="M17" s="11">
        <v>100</v>
      </c>
      <c r="N17" s="10">
        <v>19.671199999999999</v>
      </c>
      <c r="O17" s="8">
        <v>16.54</v>
      </c>
      <c r="P17" s="17">
        <f t="shared" si="2"/>
        <v>18.931076178960097</v>
      </c>
    </row>
    <row r="18" spans="1:16" x14ac:dyDescent="0.35">
      <c r="D18" s="1"/>
      <c r="E18" s="1">
        <v>3.3</v>
      </c>
      <c r="F18" s="1">
        <v>2.72</v>
      </c>
      <c r="G18" s="1"/>
      <c r="H18" s="1" t="s">
        <v>60</v>
      </c>
      <c r="I18" s="1" t="s">
        <v>50</v>
      </c>
      <c r="J18" s="1">
        <v>3.306</v>
      </c>
      <c r="K18" s="2">
        <f t="shared" si="0"/>
        <v>1.2154411764705881</v>
      </c>
      <c r="L18" s="14">
        <f t="shared" si="1"/>
        <v>21.544117647058819</v>
      </c>
      <c r="M18" s="3">
        <v>100</v>
      </c>
      <c r="N18" s="2">
        <v>19.785</v>
      </c>
      <c r="O18">
        <v>16.54</v>
      </c>
      <c r="P18" s="38">
        <f t="shared" si="2"/>
        <v>19.619105199516333</v>
      </c>
    </row>
    <row r="19" spans="1:16" x14ac:dyDescent="0.35">
      <c r="A19" s="8">
        <v>73.064800000000005</v>
      </c>
      <c r="B19" s="8" t="s">
        <v>11</v>
      </c>
      <c r="C19" s="9" t="s">
        <v>26</v>
      </c>
      <c r="D19" s="9">
        <v>520</v>
      </c>
      <c r="E19" s="9">
        <v>3.4</v>
      </c>
      <c r="F19" s="9">
        <v>3.25</v>
      </c>
      <c r="G19" s="9">
        <v>1.05</v>
      </c>
      <c r="H19" s="9" t="s">
        <v>61</v>
      </c>
      <c r="I19" s="9" t="s">
        <v>62</v>
      </c>
      <c r="J19" s="9">
        <v>3.1869999999999998</v>
      </c>
      <c r="K19" s="10">
        <f t="shared" si="0"/>
        <v>0.98061538461538456</v>
      </c>
      <c r="L19" s="16">
        <f t="shared" si="1"/>
        <v>-1.9384615384615436</v>
      </c>
      <c r="M19" s="11">
        <v>100</v>
      </c>
      <c r="N19" s="10">
        <v>19.072800000000001</v>
      </c>
      <c r="O19" s="8">
        <v>19.45</v>
      </c>
      <c r="P19" s="17">
        <f t="shared" si="2"/>
        <v>-1.939331619537267</v>
      </c>
    </row>
    <row r="20" spans="1:16" x14ac:dyDescent="0.35">
      <c r="A20" s="25"/>
      <c r="B20" s="25"/>
      <c r="C20" s="26"/>
      <c r="D20" s="26"/>
      <c r="E20" s="26"/>
      <c r="F20" s="26">
        <v>3.25</v>
      </c>
      <c r="G20" s="26"/>
      <c r="H20" s="26" t="s">
        <v>96</v>
      </c>
      <c r="I20" s="26" t="s">
        <v>97</v>
      </c>
      <c r="J20" s="39">
        <v>3.052</v>
      </c>
      <c r="K20" s="27">
        <f t="shared" si="0"/>
        <v>0.93907692307692314</v>
      </c>
      <c r="L20" s="37">
        <f t="shared" si="1"/>
        <v>-6.0923076923076911</v>
      </c>
      <c r="M20" s="28"/>
      <c r="N20" s="27"/>
      <c r="O20" s="25"/>
      <c r="P20" s="38"/>
    </row>
    <row r="21" spans="1:16" x14ac:dyDescent="0.35">
      <c r="A21" s="8">
        <v>79.054299999999998</v>
      </c>
      <c r="B21" s="8" t="s">
        <v>12</v>
      </c>
      <c r="C21" s="9" t="s">
        <v>27</v>
      </c>
      <c r="D21" s="9">
        <v>514</v>
      </c>
      <c r="E21" s="9">
        <v>3.3</v>
      </c>
      <c r="F21" s="9">
        <v>2</v>
      </c>
      <c r="G21" s="9">
        <v>1.07</v>
      </c>
      <c r="H21" s="9" t="s">
        <v>63</v>
      </c>
      <c r="I21" s="9" t="s">
        <v>64</v>
      </c>
      <c r="J21" s="9">
        <v>1.9319999999999999</v>
      </c>
      <c r="K21" s="10">
        <f t="shared" si="0"/>
        <v>0.96599999999999997</v>
      </c>
      <c r="L21" s="16">
        <f t="shared" si="1"/>
        <v>-3.400000000000003</v>
      </c>
      <c r="M21" s="11">
        <v>74</v>
      </c>
      <c r="N21" s="10">
        <v>11.3461</v>
      </c>
      <c r="O21" s="8">
        <v>11.81</v>
      </c>
      <c r="P21" s="15">
        <f t="shared" si="2"/>
        <v>-3.9280270956816312</v>
      </c>
    </row>
    <row r="22" spans="1:16" x14ac:dyDescent="0.35">
      <c r="D22" s="1"/>
      <c r="E22" s="1"/>
      <c r="F22" s="1">
        <v>2</v>
      </c>
      <c r="G22" s="1"/>
      <c r="H22" s="1" t="s">
        <v>98</v>
      </c>
      <c r="I22" s="1" t="s">
        <v>99</v>
      </c>
      <c r="J22" s="36">
        <v>1.9319999999999999</v>
      </c>
      <c r="K22" s="2">
        <f t="shared" si="0"/>
        <v>0.96599999999999997</v>
      </c>
      <c r="L22" s="14">
        <f t="shared" si="1"/>
        <v>-3.400000000000003</v>
      </c>
      <c r="M22" s="3"/>
      <c r="N22" s="2"/>
      <c r="P22" s="15"/>
    </row>
    <row r="23" spans="1:16" x14ac:dyDescent="0.35">
      <c r="A23" s="4">
        <v>83.085499999999996</v>
      </c>
      <c r="B23" s="4" t="s">
        <v>13</v>
      </c>
      <c r="C23" s="5" t="s">
        <v>28</v>
      </c>
      <c r="D23" s="5">
        <v>948</v>
      </c>
      <c r="E23" s="5">
        <v>3.3</v>
      </c>
      <c r="F23" s="5">
        <v>2</v>
      </c>
      <c r="G23" s="5">
        <v>1.06</v>
      </c>
      <c r="H23" s="5" t="s">
        <v>65</v>
      </c>
      <c r="I23" s="5" t="s">
        <v>66</v>
      </c>
      <c r="J23" s="5">
        <v>2.3719999999999999</v>
      </c>
      <c r="K23" s="6">
        <f t="shared" si="0"/>
        <v>1.1859999999999999</v>
      </c>
      <c r="L23" s="24">
        <f t="shared" si="1"/>
        <v>18.599999999999994</v>
      </c>
      <c r="M23" s="7">
        <v>100</v>
      </c>
      <c r="N23" s="6">
        <v>10.308299999999999</v>
      </c>
      <c r="O23" s="4">
        <v>7.56</v>
      </c>
      <c r="P23" s="23">
        <f t="shared" si="2"/>
        <v>36.353174603174594</v>
      </c>
    </row>
    <row r="24" spans="1:16" x14ac:dyDescent="0.35">
      <c r="A24">
        <v>93.069900000000004</v>
      </c>
      <c r="B24" t="s">
        <v>14</v>
      </c>
      <c r="C24" s="1" t="s">
        <v>29</v>
      </c>
      <c r="D24" s="1">
        <v>494</v>
      </c>
      <c r="E24" s="1">
        <v>3.3</v>
      </c>
      <c r="F24" s="1">
        <v>2.12</v>
      </c>
      <c r="G24" s="1">
        <v>1.08</v>
      </c>
      <c r="H24" s="1" t="s">
        <v>67</v>
      </c>
      <c r="I24" s="1" t="s">
        <v>68</v>
      </c>
      <c r="J24" s="1">
        <v>2.0760000000000001</v>
      </c>
      <c r="K24" s="2">
        <f t="shared" si="0"/>
        <v>0.97924528301886793</v>
      </c>
      <c r="L24" s="14">
        <f t="shared" si="1"/>
        <v>-2.0754716981132093</v>
      </c>
      <c r="M24" s="3">
        <v>100</v>
      </c>
      <c r="N24" s="2">
        <v>12.078900000000001</v>
      </c>
      <c r="O24">
        <v>12.38</v>
      </c>
      <c r="P24" s="15">
        <f t="shared" si="2"/>
        <v>-2.4321486268174466</v>
      </c>
    </row>
    <row r="25" spans="1:16" x14ac:dyDescent="0.35">
      <c r="D25" s="1"/>
      <c r="E25" s="1"/>
      <c r="F25" s="1">
        <v>2.12</v>
      </c>
      <c r="G25" s="1"/>
      <c r="H25" s="1" t="s">
        <v>100</v>
      </c>
      <c r="I25" s="1" t="s">
        <v>101</v>
      </c>
      <c r="J25" s="36">
        <v>2.0619999999999998</v>
      </c>
      <c r="K25" s="2">
        <f t="shared" si="0"/>
        <v>0.9726415094339621</v>
      </c>
      <c r="L25" s="14">
        <f t="shared" si="1"/>
        <v>-2.7358490566037865</v>
      </c>
      <c r="M25" s="3"/>
      <c r="N25" s="2"/>
      <c r="P25" s="17"/>
    </row>
    <row r="26" spans="1:16" x14ac:dyDescent="0.35">
      <c r="A26" s="8">
        <v>107.0855</v>
      </c>
      <c r="B26" s="8" t="s">
        <v>15</v>
      </c>
      <c r="C26" s="9" t="s">
        <v>30</v>
      </c>
      <c r="D26" s="9">
        <v>492</v>
      </c>
      <c r="E26" s="9">
        <v>3.3</v>
      </c>
      <c r="F26" s="9">
        <v>2.2599999999999998</v>
      </c>
      <c r="G26" s="9">
        <v>1.0900000000000001</v>
      </c>
      <c r="H26" s="9" t="s">
        <v>69</v>
      </c>
      <c r="I26" s="9" t="s">
        <v>70</v>
      </c>
      <c r="J26" s="9">
        <v>2.1859999999999999</v>
      </c>
      <c r="K26" s="10">
        <f t="shared" si="0"/>
        <v>0.9672566371681417</v>
      </c>
      <c r="L26" s="16">
        <f t="shared" si="1"/>
        <v>-3.2743362831858343</v>
      </c>
      <c r="M26" s="11">
        <v>100</v>
      </c>
      <c r="N26" s="10">
        <v>12.6023</v>
      </c>
      <c r="O26" s="8">
        <v>13.05</v>
      </c>
      <c r="P26" s="17">
        <f t="shared" si="2"/>
        <v>-3.4306513409961767</v>
      </c>
    </row>
    <row r="27" spans="1:16" x14ac:dyDescent="0.35">
      <c r="A27" s="25"/>
      <c r="B27" s="25"/>
      <c r="C27" s="26"/>
      <c r="D27" s="26"/>
      <c r="E27" s="26"/>
      <c r="F27" s="26">
        <v>2.2599999999999998</v>
      </c>
      <c r="G27" s="26"/>
      <c r="H27" s="26" t="s">
        <v>102</v>
      </c>
      <c r="I27" s="26" t="s">
        <v>103</v>
      </c>
      <c r="J27" s="39">
        <v>2.2029999999999998</v>
      </c>
      <c r="K27" s="27">
        <f t="shared" si="0"/>
        <v>0.97477876106194694</v>
      </c>
      <c r="L27" s="37">
        <f t="shared" si="1"/>
        <v>-2.5221238938053072</v>
      </c>
      <c r="M27" s="28"/>
      <c r="N27" s="27"/>
      <c r="O27" s="25"/>
      <c r="P27" s="38"/>
    </row>
    <row r="28" spans="1:16" x14ac:dyDescent="0.35">
      <c r="D28" s="1"/>
      <c r="E28" s="1">
        <v>3.3</v>
      </c>
      <c r="F28" s="1">
        <v>2.2599999999999998</v>
      </c>
      <c r="G28" s="1">
        <v>1.0900000000000001</v>
      </c>
      <c r="H28" s="1" t="s">
        <v>71</v>
      </c>
      <c r="I28" s="1" t="s">
        <v>72</v>
      </c>
      <c r="J28" s="1">
        <v>2.2650000000000001</v>
      </c>
      <c r="K28" s="2">
        <f t="shared" si="0"/>
        <v>1.002212389380531</v>
      </c>
      <c r="L28" s="14">
        <f t="shared" si="1"/>
        <v>0.22123893805311229</v>
      </c>
      <c r="M28" s="3">
        <v>100</v>
      </c>
      <c r="N28" s="2">
        <v>13.057700000000001</v>
      </c>
      <c r="O28">
        <v>13.05</v>
      </c>
      <c r="P28" s="18">
        <f t="shared" si="2"/>
        <v>5.9003831417623123E-2</v>
      </c>
    </row>
    <row r="29" spans="1:16" x14ac:dyDescent="0.35">
      <c r="A29" s="8">
        <v>121.10120000000001</v>
      </c>
      <c r="B29" s="8" t="s">
        <v>17</v>
      </c>
      <c r="C29" s="9" t="s">
        <v>32</v>
      </c>
      <c r="D29" s="9">
        <v>479</v>
      </c>
      <c r="E29" s="9">
        <v>3.9</v>
      </c>
      <c r="F29" s="9">
        <v>2.2000000000000002</v>
      </c>
      <c r="G29" s="9">
        <v>1.1000000000000001</v>
      </c>
      <c r="H29" s="9" t="s">
        <v>104</v>
      </c>
      <c r="I29" s="9" t="s">
        <v>105</v>
      </c>
      <c r="J29" s="40">
        <v>2.4039999999999999</v>
      </c>
      <c r="K29" s="10">
        <f t="shared" si="0"/>
        <v>1.0927272727272725</v>
      </c>
      <c r="L29" s="21">
        <f t="shared" si="1"/>
        <v>9.2727272727272592</v>
      </c>
      <c r="M29" s="11">
        <v>100</v>
      </c>
      <c r="N29" s="10">
        <v>13.733000000000001</v>
      </c>
      <c r="O29" s="8">
        <v>14.17</v>
      </c>
      <c r="P29" s="19">
        <f t="shared" si="2"/>
        <v>-3.0839802399435383</v>
      </c>
    </row>
    <row r="30" spans="1:16" x14ac:dyDescent="0.35">
      <c r="D30" s="1"/>
      <c r="E30" s="1">
        <v>3.9</v>
      </c>
      <c r="F30" s="1">
        <v>2.2000000000000002</v>
      </c>
      <c r="G30" s="1"/>
      <c r="H30" s="1" t="s">
        <v>73</v>
      </c>
      <c r="I30" s="1" t="s">
        <v>74</v>
      </c>
      <c r="J30" s="1">
        <v>2.399</v>
      </c>
      <c r="K30" s="2">
        <f t="shared" si="0"/>
        <v>1.0904545454545453</v>
      </c>
      <c r="L30" s="22">
        <f t="shared" si="1"/>
        <v>9.0454545454545379</v>
      </c>
      <c r="M30" s="3">
        <v>100</v>
      </c>
      <c r="N30" s="2">
        <v>13.6816</v>
      </c>
      <c r="O30">
        <v>14.17</v>
      </c>
      <c r="P30" s="29">
        <f t="shared" si="2"/>
        <v>-3.446718419195486</v>
      </c>
    </row>
    <row r="31" spans="1:16" x14ac:dyDescent="0.35">
      <c r="A31" s="4">
        <v>180.93700000000001</v>
      </c>
      <c r="B31" s="4" t="s">
        <v>106</v>
      </c>
      <c r="C31" s="5" t="s">
        <v>107</v>
      </c>
      <c r="D31" s="5"/>
      <c r="E31" s="5"/>
      <c r="F31" s="5">
        <v>2.2000000000000002</v>
      </c>
      <c r="G31" s="5" t="s">
        <v>108</v>
      </c>
      <c r="H31" s="5" t="s">
        <v>109</v>
      </c>
      <c r="I31" s="5" t="s">
        <v>64</v>
      </c>
      <c r="J31" s="41">
        <v>2.1829999999999998</v>
      </c>
      <c r="K31" s="6">
        <f t="shared" si="0"/>
        <v>0.99227272727272708</v>
      </c>
      <c r="L31" s="24">
        <f t="shared" si="1"/>
        <v>-0.77272727272728847</v>
      </c>
      <c r="M31" s="7"/>
      <c r="N31" s="6"/>
      <c r="O31" s="4"/>
      <c r="P31" s="23"/>
    </row>
    <row r="32" spans="1:16" x14ac:dyDescent="0.35">
      <c r="A32" s="4">
        <v>137.13249999999999</v>
      </c>
      <c r="B32" s="4" t="s">
        <v>16</v>
      </c>
      <c r="C32" s="5" t="s">
        <v>31</v>
      </c>
      <c r="D32" s="5">
        <v>976</v>
      </c>
      <c r="E32" s="5">
        <v>3.7</v>
      </c>
      <c r="F32" s="5">
        <v>2.04</v>
      </c>
      <c r="G32" s="5">
        <v>1.1200000000000001</v>
      </c>
      <c r="H32" s="5"/>
      <c r="I32" s="5"/>
      <c r="J32" s="5"/>
      <c r="K32" s="6"/>
      <c r="L32" s="4"/>
      <c r="M32" s="4"/>
      <c r="N32" s="12"/>
      <c r="O32" s="4">
        <v>8.69</v>
      </c>
      <c r="P32" s="13">
        <f t="shared" si="2"/>
        <v>-100</v>
      </c>
    </row>
    <row r="35" spans="7:8" x14ac:dyDescent="0.35">
      <c r="G35" s="42" t="s">
        <v>110</v>
      </c>
      <c r="H35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 Amelynck</dc:creator>
  <cp:lastModifiedBy>Crist Amelynck</cp:lastModifiedBy>
  <dcterms:created xsi:type="dcterms:W3CDTF">2025-03-26T12:26:45Z</dcterms:created>
  <dcterms:modified xsi:type="dcterms:W3CDTF">2025-04-17T10:33:38Z</dcterms:modified>
</cp:coreProperties>
</file>