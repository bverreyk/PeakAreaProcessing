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ieuw_te_copieren_X\calibratie inlet flow TOF\"/>
    </mc:Choice>
  </mc:AlternateContent>
  <bookViews>
    <workbookView xWindow="0" yWindow="0" windowWidth="28800" windowHeight="14100"/>
  </bookViews>
  <sheets>
    <sheet name="summary" sheetId="1" r:id="rId1"/>
    <sheet name="tek 3-4 dag calib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" l="1"/>
  <c r="H33" i="1"/>
  <c r="I33" i="1"/>
  <c r="G34" i="1"/>
  <c r="H34" i="1"/>
  <c r="I34" i="1"/>
  <c r="G35" i="1"/>
  <c r="H35" i="1"/>
  <c r="I35" i="1"/>
  <c r="I32" i="1"/>
  <c r="H32" i="1"/>
  <c r="G32" i="1"/>
  <c r="D32" i="1" l="1"/>
  <c r="C32" i="1"/>
  <c r="B32" i="1"/>
  <c r="A33" i="1" l="1"/>
  <c r="B33" i="1" l="1"/>
  <c r="C33" i="1"/>
  <c r="D33" i="1"/>
  <c r="A34" i="1"/>
  <c r="A35" i="1" l="1"/>
  <c r="C34" i="1"/>
  <c r="B34" i="1"/>
  <c r="D34" i="1"/>
  <c r="A36" i="1" l="1"/>
  <c r="D35" i="1"/>
  <c r="B35" i="1"/>
  <c r="C35" i="1"/>
  <c r="A37" i="1" l="1"/>
  <c r="B36" i="1"/>
  <c r="C36" i="1"/>
  <c r="D36" i="1"/>
  <c r="A38" i="1" l="1"/>
  <c r="B37" i="1"/>
  <c r="D37" i="1"/>
  <c r="C37" i="1"/>
  <c r="A39" i="1" l="1"/>
  <c r="C38" i="1"/>
  <c r="D38" i="1"/>
  <c r="B38" i="1"/>
  <c r="A40" i="1" l="1"/>
  <c r="D39" i="1"/>
  <c r="B39" i="1"/>
  <c r="C39" i="1"/>
  <c r="A41" i="1" l="1"/>
  <c r="B40" i="1"/>
  <c r="C40" i="1"/>
  <c r="D40" i="1"/>
  <c r="A42" i="1" l="1"/>
  <c r="B41" i="1"/>
  <c r="C41" i="1"/>
  <c r="D41" i="1"/>
  <c r="A43" i="1" l="1"/>
  <c r="D42" i="1"/>
  <c r="C42" i="1"/>
  <c r="B42" i="1"/>
  <c r="A44" i="1" l="1"/>
  <c r="D43" i="1"/>
  <c r="B43" i="1"/>
  <c r="C43" i="1"/>
  <c r="A45" i="1" l="1"/>
  <c r="B44" i="1"/>
  <c r="C44" i="1"/>
  <c r="D44" i="1"/>
  <c r="A46" i="1" l="1"/>
  <c r="B45" i="1"/>
  <c r="C45" i="1"/>
  <c r="D45" i="1"/>
  <c r="A47" i="1" l="1"/>
  <c r="C46" i="1"/>
  <c r="D46" i="1"/>
  <c r="B46" i="1"/>
  <c r="A48" i="1" l="1"/>
  <c r="B47" i="1"/>
  <c r="D47" i="1"/>
  <c r="C47" i="1"/>
  <c r="A49" i="1" l="1"/>
  <c r="B48" i="1"/>
  <c r="C48" i="1"/>
  <c r="D48" i="1"/>
  <c r="A50" i="1" l="1"/>
  <c r="B49" i="1"/>
  <c r="C49" i="1"/>
  <c r="D49" i="1"/>
  <c r="A51" i="1" l="1"/>
  <c r="D50" i="1"/>
  <c r="C50" i="1"/>
  <c r="B50" i="1"/>
  <c r="A52" i="1" l="1"/>
  <c r="D51" i="1"/>
  <c r="B51" i="1"/>
  <c r="C51" i="1"/>
  <c r="A53" i="1" l="1"/>
  <c r="B52" i="1"/>
  <c r="C52" i="1"/>
  <c r="D52" i="1"/>
  <c r="A54" i="1" l="1"/>
  <c r="B53" i="1"/>
  <c r="D53" i="1"/>
  <c r="C53" i="1"/>
  <c r="A55" i="1" l="1"/>
  <c r="C54" i="1"/>
  <c r="D54" i="1"/>
  <c r="B54" i="1"/>
  <c r="A56" i="1" l="1"/>
  <c r="B55" i="1"/>
  <c r="D55" i="1"/>
  <c r="C55" i="1"/>
  <c r="A57" i="1" l="1"/>
  <c r="B56" i="1"/>
  <c r="D56" i="1"/>
  <c r="C56" i="1"/>
  <c r="A58" i="1" l="1"/>
  <c r="B57" i="1"/>
  <c r="C57" i="1"/>
  <c r="D57" i="1"/>
  <c r="B58" i="1" l="1"/>
  <c r="D58" i="1"/>
  <c r="C58" i="1"/>
</calcChain>
</file>

<file path=xl/sharedStrings.xml><?xml version="1.0" encoding="utf-8"?>
<sst xmlns="http://schemas.openxmlformats.org/spreadsheetml/2006/main" count="20" uniqueCount="13">
  <si>
    <t>a</t>
  </si>
  <si>
    <t>b</t>
  </si>
  <si>
    <t>c</t>
  </si>
  <si>
    <t>d</t>
  </si>
  <si>
    <t>A) 3-4 dagelijkse calibraties</t>
  </si>
  <si>
    <t>B) calibraties ifv RH</t>
  </si>
  <si>
    <t>flow Q(sccm) naar TOF bij te tellen bij 800 sccm voor berekening van de verdunningsfactor</t>
  </si>
  <si>
    <t>p</t>
  </si>
  <si>
    <t>verwachte waarde tussen 56 en 67 sccm voor drukinterval  p [580 - 620] Torr</t>
  </si>
  <si>
    <t>verwachte waarde tussen 88 en 100 sccm voor drukinterval  p [700 - 730] Torr</t>
  </si>
  <si>
    <r>
      <t xml:space="preserve">zeer duidelijke voorkeur wordt gegeven aan </t>
    </r>
    <r>
      <rPr>
        <b/>
        <u/>
        <sz val="14"/>
        <color rgb="FFFF0000"/>
        <rFont val="Calibri"/>
        <family val="2"/>
        <scheme val="minor"/>
      </rPr>
      <t>CH101</t>
    </r>
    <r>
      <rPr>
        <b/>
        <sz val="14"/>
        <color rgb="FFFF0000"/>
        <rFont val="Calibri"/>
        <family val="2"/>
        <scheme val="minor"/>
      </rPr>
      <t xml:space="preserve"> aangezien er een verschil is tussen CH101 en AI2 en de calibratie van Q gebaseerd is op CH101</t>
    </r>
  </si>
  <si>
    <r>
      <t>formule : Q (sccm) = a x p</t>
    </r>
    <r>
      <rPr>
        <b/>
        <vertAlign val="superscript"/>
        <sz val="14"/>
        <color rgb="FFFF0000"/>
        <rFont val="Calibri"/>
        <family val="2"/>
        <scheme val="minor"/>
      </rPr>
      <t>3</t>
    </r>
    <r>
      <rPr>
        <b/>
        <sz val="14"/>
        <color rgb="FFFF0000"/>
        <rFont val="Calibri"/>
        <family val="2"/>
        <scheme val="minor"/>
      </rPr>
      <t xml:space="preserve"> + b x p</t>
    </r>
    <r>
      <rPr>
        <b/>
        <vertAlign val="superscript"/>
        <sz val="14"/>
        <color rgb="FFFF0000"/>
        <rFont val="Calibri"/>
        <family val="2"/>
        <scheme val="minor"/>
      </rPr>
      <t>2</t>
    </r>
    <r>
      <rPr>
        <b/>
        <sz val="14"/>
        <color rgb="FFFF0000"/>
        <rFont val="Calibri"/>
        <family val="2"/>
        <scheme val="minor"/>
      </rPr>
      <t xml:space="preserve"> + c x p + d   </t>
    </r>
    <r>
      <rPr>
        <b/>
        <sz val="12"/>
        <color rgb="FFFF0000"/>
        <rFont val="Calibri"/>
        <family val="2"/>
        <scheme val="minor"/>
      </rPr>
      <t>met p de druk in Torr gemeten op CH101 en op AI2 (x 100) van de TOF gedurende de periode dat er effectief 10 sscm calib gas gemengd werd met de zero air</t>
    </r>
  </si>
  <si>
    <r>
      <t>formule : Q (sccm)  = a x p</t>
    </r>
    <r>
      <rPr>
        <b/>
        <vertAlign val="superscript"/>
        <sz val="14"/>
        <color rgb="FFFF0000"/>
        <rFont val="Calibri"/>
        <family val="2"/>
        <scheme val="minor"/>
      </rPr>
      <t>3</t>
    </r>
    <r>
      <rPr>
        <b/>
        <sz val="14"/>
        <color rgb="FFFF0000"/>
        <rFont val="Calibri"/>
        <family val="2"/>
        <scheme val="minor"/>
      </rPr>
      <t xml:space="preserve"> + b x p</t>
    </r>
    <r>
      <rPr>
        <b/>
        <vertAlign val="superscript"/>
        <sz val="14"/>
        <color rgb="FFFF0000"/>
        <rFont val="Calibri"/>
        <family val="2"/>
        <scheme val="minor"/>
      </rPr>
      <t>2</t>
    </r>
    <r>
      <rPr>
        <b/>
        <sz val="14"/>
        <color rgb="FFFF0000"/>
        <rFont val="Calibri"/>
        <family val="2"/>
        <scheme val="minor"/>
      </rPr>
      <t xml:space="preserve"> + c x p + d   met p  = PA_1_1(Torr) - 11.206 (Torr) </t>
    </r>
    <r>
      <rPr>
        <b/>
        <sz val="12"/>
        <color rgb="FFFF0000"/>
        <rFont val="Calibri"/>
        <family val="2"/>
        <scheme val="minor"/>
      </rPr>
      <t>met PA_1_1 (in kPa) terug te vinden in de meteo file van Gembloux. Te doen voor iedere %RH instelling. Neem een HH in de meteo file waar er effectief 10 sscm calib gas gemengd werd met de zero air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</si>
</sst>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9" x14ac:knownFonts="1">
    <font>
      <sz val="11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vertAlign val="superscript"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BE"/>
              <a:t>Q versus </a:t>
            </a:r>
            <a:r>
              <a:rPr lang="nl-BE" baseline="0"/>
              <a:t>p</a:t>
            </a:r>
            <a:r>
              <a:rPr lang="nl-BE" baseline="-25000"/>
              <a:t>_inlet_2</a:t>
            </a:r>
          </a:p>
        </c:rich>
      </c:tx>
      <c:layout>
        <c:manualLayout>
          <c:xMode val="edge"/>
          <c:yMode val="edge"/>
          <c:x val="0.43152219701468297"/>
          <c:y val="2.3672757841222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0284697508894"/>
          <c:y val="9.1094563489147934E-2"/>
          <c:w val="0.84404819084767924"/>
          <c:h val="0.78119655591485793"/>
        </c:manualLayout>
      </c:layout>
      <c:scatterChart>
        <c:scatterStyle val="lineMarker"/>
        <c:varyColors val="0"/>
        <c:ser>
          <c:idx val="11"/>
          <c:order val="0"/>
          <c:tx>
            <c:strRef>
              <c:f>summary!$B$31</c:f>
              <c:strCache>
                <c:ptCount val="1"/>
                <c:pt idx="0">
                  <c:v>2022</c:v>
                </c:pt>
              </c:strCache>
            </c:strRef>
          </c:tx>
          <c:spPr>
            <a:ln w="12700">
              <a:solidFill>
                <a:srgbClr val="000080"/>
              </a:solidFill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summary!$A$32:$A$58</c:f>
              <c:numCache>
                <c:formatCode>General</c:formatCode>
                <c:ptCount val="27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</c:numCache>
            </c:numRef>
          </c:xVal>
          <c:yVal>
            <c:numRef>
              <c:f>summary!$B$32:$B$58</c:f>
              <c:numCache>
                <c:formatCode>0.00</c:formatCode>
                <c:ptCount val="27"/>
                <c:pt idx="0">
                  <c:v>38.086395060000001</c:v>
                </c:pt>
                <c:pt idx="1">
                  <c:v>40.41239465999999</c:v>
                </c:pt>
                <c:pt idx="2">
                  <c:v>42.721144260000017</c:v>
                </c:pt>
                <c:pt idx="3">
                  <c:v>45.015463860000011</c:v>
                </c:pt>
                <c:pt idx="4">
                  <c:v>47.298173460000015</c:v>
                </c:pt>
                <c:pt idx="5">
                  <c:v>49.572093060000043</c:v>
                </c:pt>
                <c:pt idx="6">
                  <c:v>51.840042660000051</c:v>
                </c:pt>
                <c:pt idx="7">
                  <c:v>54.104842259999998</c:v>
                </c:pt>
                <c:pt idx="8">
                  <c:v>56.36931186000001</c:v>
                </c:pt>
                <c:pt idx="9">
                  <c:v>58.636271460000017</c:v>
                </c:pt>
                <c:pt idx="10">
                  <c:v>60.908541060000005</c:v>
                </c:pt>
                <c:pt idx="11">
                  <c:v>63.188940659999986</c:v>
                </c:pt>
                <c:pt idx="12">
                  <c:v>65.480290260000004</c:v>
                </c:pt>
                <c:pt idx="13">
                  <c:v>67.785409860000016</c:v>
                </c:pt>
                <c:pt idx="14">
                  <c:v>70.107119459999979</c:v>
                </c:pt>
                <c:pt idx="15">
                  <c:v>72.44823906000002</c:v>
                </c:pt>
                <c:pt idx="16">
                  <c:v>74.811588660000012</c:v>
                </c:pt>
                <c:pt idx="17">
                  <c:v>77.199988259999998</c:v>
                </c:pt>
                <c:pt idx="18">
                  <c:v>79.61625785999999</c:v>
                </c:pt>
                <c:pt idx="19">
                  <c:v>82.063217459999976</c:v>
                </c:pt>
                <c:pt idx="20">
                  <c:v>84.543687059999996</c:v>
                </c:pt>
                <c:pt idx="21">
                  <c:v>87.060486659999981</c:v>
                </c:pt>
                <c:pt idx="22">
                  <c:v>89.61643626</c:v>
                </c:pt>
                <c:pt idx="23">
                  <c:v>92.214355860000012</c:v>
                </c:pt>
                <c:pt idx="24">
                  <c:v>94.857065460000058</c:v>
                </c:pt>
                <c:pt idx="25">
                  <c:v>97.547385059999954</c:v>
                </c:pt>
                <c:pt idx="26">
                  <c:v>100.28813465999997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F6-49A6-8C21-EBA5D75EEC5B}"/>
            </c:ext>
          </c:extLst>
        </c:ser>
        <c:ser>
          <c:idx val="0"/>
          <c:order val="1"/>
          <c:tx>
            <c:strRef>
              <c:f>summary!$C$31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summary!$A$32:$A$58</c:f>
              <c:numCache>
                <c:formatCode>General</c:formatCode>
                <c:ptCount val="27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</c:numCache>
            </c:numRef>
          </c:xVal>
          <c:yVal>
            <c:numRef>
              <c:f>summary!$C$32:$C$58</c:f>
              <c:numCache>
                <c:formatCode>0.00</c:formatCode>
                <c:ptCount val="27"/>
                <c:pt idx="0">
                  <c:v>39.319209110000003</c:v>
                </c:pt>
                <c:pt idx="1">
                  <c:v>41.642802509999996</c:v>
                </c:pt>
                <c:pt idx="2">
                  <c:v>43.95830791000003</c:v>
                </c:pt>
                <c:pt idx="3">
                  <c:v>46.267885309999997</c:v>
                </c:pt>
                <c:pt idx="4">
                  <c:v>48.573694710000012</c:v>
                </c:pt>
                <c:pt idx="5">
                  <c:v>50.877896110000023</c:v>
                </c:pt>
                <c:pt idx="6">
                  <c:v>53.182649509999976</c:v>
                </c:pt>
                <c:pt idx="7">
                  <c:v>55.490114909999988</c:v>
                </c:pt>
                <c:pt idx="8">
                  <c:v>57.802452310000007</c:v>
                </c:pt>
                <c:pt idx="9">
                  <c:v>60.121821710000034</c:v>
                </c:pt>
                <c:pt idx="10">
                  <c:v>62.45038310999999</c:v>
                </c:pt>
                <c:pt idx="11">
                  <c:v>64.790296510000047</c:v>
                </c:pt>
                <c:pt idx="12">
                  <c:v>67.143721910000039</c:v>
                </c:pt>
                <c:pt idx="13">
                  <c:v>69.512819309999998</c:v>
                </c:pt>
                <c:pt idx="14">
                  <c:v>71.899748710000011</c:v>
                </c:pt>
                <c:pt idx="15">
                  <c:v>74.306670110000056</c:v>
                </c:pt>
                <c:pt idx="16">
                  <c:v>76.735743509999992</c:v>
                </c:pt>
                <c:pt idx="17">
                  <c:v>79.189128909999994</c:v>
                </c:pt>
                <c:pt idx="18">
                  <c:v>81.668986310000008</c:v>
                </c:pt>
                <c:pt idx="19">
                  <c:v>84.177475709999982</c:v>
                </c:pt>
                <c:pt idx="20">
                  <c:v>86.716757110000032</c:v>
                </c:pt>
                <c:pt idx="21">
                  <c:v>89.288990510000048</c:v>
                </c:pt>
                <c:pt idx="22">
                  <c:v>91.896335910000033</c:v>
                </c:pt>
                <c:pt idx="23">
                  <c:v>94.54095331000002</c:v>
                </c:pt>
                <c:pt idx="24">
                  <c:v>97.225002710000012</c:v>
                </c:pt>
                <c:pt idx="25">
                  <c:v>99.950644110000013</c:v>
                </c:pt>
                <c:pt idx="26">
                  <c:v>102.72003751000003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F6-49A6-8C21-EBA5D75EEC5B}"/>
            </c:ext>
          </c:extLst>
        </c:ser>
        <c:ser>
          <c:idx val="1"/>
          <c:order val="2"/>
          <c:tx>
            <c:strRef>
              <c:f>summary!$D$31</c:f>
              <c:strCache>
                <c:ptCount val="1"/>
                <c:pt idx="0">
                  <c:v>2024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3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summary!$A$32:$A$58</c:f>
              <c:numCache>
                <c:formatCode>General</c:formatCode>
                <c:ptCount val="27"/>
                <c:pt idx="0">
                  <c:v>500</c:v>
                </c:pt>
                <c:pt idx="1">
                  <c:v>510</c:v>
                </c:pt>
                <c:pt idx="2">
                  <c:v>520</c:v>
                </c:pt>
                <c:pt idx="3">
                  <c:v>530</c:v>
                </c:pt>
                <c:pt idx="4">
                  <c:v>540</c:v>
                </c:pt>
                <c:pt idx="5">
                  <c:v>550</c:v>
                </c:pt>
                <c:pt idx="6">
                  <c:v>560</c:v>
                </c:pt>
                <c:pt idx="7">
                  <c:v>570</c:v>
                </c:pt>
                <c:pt idx="8">
                  <c:v>580</c:v>
                </c:pt>
                <c:pt idx="9">
                  <c:v>590</c:v>
                </c:pt>
                <c:pt idx="10">
                  <c:v>600</c:v>
                </c:pt>
                <c:pt idx="11">
                  <c:v>610</c:v>
                </c:pt>
                <c:pt idx="12">
                  <c:v>620</c:v>
                </c:pt>
                <c:pt idx="13">
                  <c:v>630</c:v>
                </c:pt>
                <c:pt idx="14">
                  <c:v>640</c:v>
                </c:pt>
                <c:pt idx="15">
                  <c:v>650</c:v>
                </c:pt>
                <c:pt idx="16">
                  <c:v>660</c:v>
                </c:pt>
                <c:pt idx="17">
                  <c:v>670</c:v>
                </c:pt>
                <c:pt idx="18">
                  <c:v>680</c:v>
                </c:pt>
                <c:pt idx="19">
                  <c:v>690</c:v>
                </c:pt>
                <c:pt idx="20">
                  <c:v>700</c:v>
                </c:pt>
                <c:pt idx="21">
                  <c:v>710</c:v>
                </c:pt>
                <c:pt idx="22">
                  <c:v>720</c:v>
                </c:pt>
                <c:pt idx="23">
                  <c:v>730</c:v>
                </c:pt>
                <c:pt idx="24">
                  <c:v>740</c:v>
                </c:pt>
                <c:pt idx="25">
                  <c:v>750</c:v>
                </c:pt>
                <c:pt idx="26">
                  <c:v>760</c:v>
                </c:pt>
              </c:numCache>
            </c:numRef>
          </c:xVal>
          <c:yVal>
            <c:numRef>
              <c:f>summary!$D$32:$D$58</c:f>
              <c:numCache>
                <c:formatCode>0.00</c:formatCode>
                <c:ptCount val="27"/>
                <c:pt idx="0">
                  <c:v>37.461255910000034</c:v>
                </c:pt>
                <c:pt idx="1">
                  <c:v>39.837104310000001</c:v>
                </c:pt>
                <c:pt idx="2">
                  <c:v>42.19688671000003</c:v>
                </c:pt>
                <c:pt idx="3">
                  <c:v>44.543483110000011</c:v>
                </c:pt>
                <c:pt idx="4">
                  <c:v>46.879773510000035</c:v>
                </c:pt>
                <c:pt idx="5">
                  <c:v>49.208637910000022</c:v>
                </c:pt>
                <c:pt idx="6">
                  <c:v>51.532956310000003</c:v>
                </c:pt>
                <c:pt idx="7">
                  <c:v>53.855608710000041</c:v>
                </c:pt>
                <c:pt idx="8">
                  <c:v>56.17947510999997</c:v>
                </c:pt>
                <c:pt idx="9">
                  <c:v>58.50743551000005</c:v>
                </c:pt>
                <c:pt idx="10">
                  <c:v>60.842369910000031</c:v>
                </c:pt>
                <c:pt idx="11">
                  <c:v>63.187158310000001</c:v>
                </c:pt>
                <c:pt idx="12">
                  <c:v>65.544680710000023</c:v>
                </c:pt>
                <c:pt idx="13">
                  <c:v>67.917817110000016</c:v>
                </c:pt>
                <c:pt idx="14">
                  <c:v>70.309447510000069</c:v>
                </c:pt>
                <c:pt idx="15">
                  <c:v>72.722451910000046</c:v>
                </c:pt>
                <c:pt idx="16">
                  <c:v>75.15971030999998</c:v>
                </c:pt>
                <c:pt idx="17">
                  <c:v>77.624102710000045</c:v>
                </c:pt>
                <c:pt idx="18">
                  <c:v>80.118509110000048</c:v>
                </c:pt>
                <c:pt idx="19">
                  <c:v>82.645809509999992</c:v>
                </c:pt>
                <c:pt idx="20">
                  <c:v>85.208883910000026</c:v>
                </c:pt>
                <c:pt idx="21">
                  <c:v>87.81061231000001</c:v>
                </c:pt>
                <c:pt idx="22">
                  <c:v>90.453874710000036</c:v>
                </c:pt>
                <c:pt idx="23">
                  <c:v>93.141551110000051</c:v>
                </c:pt>
                <c:pt idx="24">
                  <c:v>95.876521510000003</c:v>
                </c:pt>
                <c:pt idx="25">
                  <c:v>98.661665910000039</c:v>
                </c:pt>
                <c:pt idx="26">
                  <c:v>101.49986431000005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F6-49A6-8C21-EBA5D75EE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976576"/>
        <c:axId val="1"/>
      </c:scatterChart>
      <c:valAx>
        <c:axId val="634976576"/>
        <c:scaling>
          <c:orientation val="minMax"/>
          <c:max val="760"/>
          <c:min val="5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nl-BE"/>
                  <a:t>p</a:t>
                </a:r>
                <a:r>
                  <a:rPr lang="nl-BE" baseline="-25000"/>
                  <a:t>_inlet,2</a:t>
                </a:r>
                <a:r>
                  <a:rPr lang="nl-BE"/>
                  <a:t> (Torr)</a:t>
                </a:r>
              </a:p>
            </c:rich>
          </c:tx>
          <c:layout>
            <c:manualLayout>
              <c:xMode val="edge"/>
              <c:yMode val="edge"/>
              <c:x val="0.47584967017188345"/>
              <c:y val="0.9044502055783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15"/>
          <c:min val="3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BE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n-BE" sz="12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20°C</a:t>
                </a:r>
                <a:r>
                  <a:rPr lang="en-BE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 (sccm)</a:t>
                </a:r>
              </a:p>
            </c:rich>
          </c:tx>
          <c:layout>
            <c:manualLayout>
              <c:xMode val="edge"/>
              <c:yMode val="edge"/>
              <c:x val="1.3245262282215861E-2"/>
              <c:y val="0.376963426553653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49765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489460126486799"/>
          <c:y val="0.15260044585705668"/>
          <c:w val="7.4096323559605992E-2"/>
          <c:h val="9.834793071499657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564" cy="607978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selection activeCell="W32" sqref="W32"/>
    </sheetView>
  </sheetViews>
  <sheetFormatPr defaultRowHeight="15" x14ac:dyDescent="0.25"/>
  <cols>
    <col min="2" max="4" width="16.85546875" customWidth="1"/>
  </cols>
  <sheetData>
    <row r="1" spans="1:11" ht="42.75" customHeight="1" x14ac:dyDescent="0.25">
      <c r="A1" s="11" t="s">
        <v>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.75" customHeight="1" x14ac:dyDescent="0.25"/>
    <row r="3" spans="1:11" ht="23.25" x14ac:dyDescent="0.3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4.25" customHeight="1" x14ac:dyDescent="0.25">
      <c r="A4" s="9" t="s">
        <v>11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8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9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36" customHeight="1" x14ac:dyDescent="0.25">
      <c r="A7" s="9" t="s">
        <v>10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9" customHeight="1" thickBot="1" x14ac:dyDescent="0.3"/>
    <row r="9" spans="1:11" ht="16.5" thickTop="1" thickBot="1" x14ac:dyDescent="0.3">
      <c r="B9" s="12">
        <v>2022</v>
      </c>
      <c r="C9" s="13">
        <v>2023</v>
      </c>
      <c r="D9" s="14">
        <v>2024</v>
      </c>
    </row>
    <row r="10" spans="1:11" ht="15.75" thickTop="1" x14ac:dyDescent="0.25">
      <c r="A10" s="15" t="s">
        <v>0</v>
      </c>
      <c r="B10" s="21">
        <v>4.7E-7</v>
      </c>
      <c r="C10" s="21">
        <v>3.5999999999999999E-7</v>
      </c>
      <c r="D10" s="22">
        <v>4.7999999999999996E-7</v>
      </c>
    </row>
    <row r="11" spans="1:11" x14ac:dyDescent="0.25">
      <c r="A11" s="16" t="s">
        <v>1</v>
      </c>
      <c r="B11" s="23">
        <v>-8.0535000000000003E-4</v>
      </c>
      <c r="C11" s="23">
        <v>-5.9124000000000004E-4</v>
      </c>
      <c r="D11" s="24">
        <v>-8.1472999999999995E-4</v>
      </c>
    </row>
    <row r="12" spans="1:11" x14ac:dyDescent="0.25">
      <c r="A12" s="16" t="s">
        <v>2</v>
      </c>
      <c r="B12" s="23">
        <v>0.68640646000000005</v>
      </c>
      <c r="C12" s="23">
        <v>0.55407574000000004</v>
      </c>
      <c r="D12" s="24">
        <v>0.69321414000000003</v>
      </c>
    </row>
    <row r="13" spans="1:11" ht="15.75" thickBot="1" x14ac:dyDescent="0.3">
      <c r="A13" s="17" t="s">
        <v>3</v>
      </c>
      <c r="B13" s="25">
        <v>-162.52933494000001</v>
      </c>
      <c r="C13" s="25">
        <v>-134.90866088999999</v>
      </c>
      <c r="D13" s="26">
        <v>-165.46331409000001</v>
      </c>
    </row>
    <row r="14" spans="1:11" ht="9" customHeight="1" thickTop="1" x14ac:dyDescent="0.25"/>
    <row r="15" spans="1:11" x14ac:dyDescent="0.25">
      <c r="A15" s="8" t="s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8.75" customHeight="1" x14ac:dyDescent="0.25"/>
    <row r="17" spans="1:11" ht="23.25" x14ac:dyDescent="0.35">
      <c r="A17" s="10" t="s">
        <v>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9" customHeight="1" x14ac:dyDescent="0.25"/>
    <row r="19" spans="1:11" ht="54.75" customHeight="1" x14ac:dyDescent="0.25">
      <c r="A19" s="9" t="s">
        <v>12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9" customHeight="1" thickBot="1" x14ac:dyDescent="0.3"/>
    <row r="21" spans="1:11" ht="16.5" thickTop="1" thickBot="1" x14ac:dyDescent="0.3">
      <c r="B21" s="12">
        <v>2022</v>
      </c>
      <c r="C21" s="13">
        <v>2023</v>
      </c>
      <c r="D21" s="14">
        <v>2024</v>
      </c>
    </row>
    <row r="22" spans="1:11" ht="15.75" thickTop="1" x14ac:dyDescent="0.25">
      <c r="A22" s="18" t="s">
        <v>0</v>
      </c>
      <c r="B22" s="27">
        <v>7.0000000000000005E-8</v>
      </c>
      <c r="C22" s="21">
        <v>-7.0000000000000005E-8</v>
      </c>
      <c r="D22" s="22">
        <v>7.0000000000000005E-8</v>
      </c>
    </row>
    <row r="23" spans="1:11" x14ac:dyDescent="0.25">
      <c r="A23" s="19" t="s">
        <v>1</v>
      </c>
      <c r="B23" s="28">
        <v>-6.6439999999999994E-5</v>
      </c>
      <c r="C23" s="23">
        <v>2.0382000000000001E-4</v>
      </c>
      <c r="D23" s="24">
        <v>-6.0690000000000003E-5</v>
      </c>
    </row>
    <row r="24" spans="1:11" x14ac:dyDescent="0.25">
      <c r="A24" s="19" t="s">
        <v>2</v>
      </c>
      <c r="B24" s="28">
        <v>0.24569945000000001</v>
      </c>
      <c r="C24" s="23">
        <v>8.2008250000000005E-2</v>
      </c>
      <c r="D24" s="24">
        <v>0.24336207000000001</v>
      </c>
    </row>
    <row r="25" spans="1:11" ht="15.75" thickBot="1" x14ac:dyDescent="0.3">
      <c r="A25" s="20" t="s">
        <v>3</v>
      </c>
      <c r="B25" s="29">
        <v>-75.320565950000002</v>
      </c>
      <c r="C25" s="25">
        <v>-41.986910479999999</v>
      </c>
      <c r="D25" s="26">
        <v>-76.440813480000003</v>
      </c>
    </row>
    <row r="26" spans="1:11" ht="11.25" customHeight="1" thickTop="1" x14ac:dyDescent="0.25"/>
    <row r="27" spans="1:11" x14ac:dyDescent="0.25">
      <c r="A27" s="8" t="s">
        <v>9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9" spans="1:11" x14ac:dyDescent="0.25">
      <c r="A29" s="7" t="s">
        <v>4</v>
      </c>
      <c r="B29" s="7"/>
      <c r="C29" s="7"/>
      <c r="D29" s="7"/>
      <c r="F29" s="7" t="s">
        <v>5</v>
      </c>
      <c r="G29" s="7"/>
      <c r="H29" s="7"/>
      <c r="I29" s="7"/>
    </row>
    <row r="31" spans="1:11" x14ac:dyDescent="0.25">
      <c r="A31" s="1" t="s">
        <v>7</v>
      </c>
      <c r="B31" s="1">
        <v>2022</v>
      </c>
      <c r="C31" s="1">
        <v>2023</v>
      </c>
      <c r="D31" s="1">
        <v>2024</v>
      </c>
      <c r="F31" s="2" t="s">
        <v>7</v>
      </c>
      <c r="G31" s="2">
        <v>2022</v>
      </c>
      <c r="H31" s="2">
        <v>2023</v>
      </c>
      <c r="I31" s="2">
        <v>2024</v>
      </c>
    </row>
    <row r="32" spans="1:11" x14ac:dyDescent="0.25">
      <c r="A32" s="1">
        <v>500</v>
      </c>
      <c r="B32" s="3">
        <f>$B$10*$A32^3+$B$11*$A32^2+$B$12*$A32+$B$13</f>
        <v>38.086395060000001</v>
      </c>
      <c r="C32" s="3">
        <f>$C$10*$A32^3+$C$11*$A32^2+$C$12*$A32+$C$13</f>
        <v>39.319209110000003</v>
      </c>
      <c r="D32" s="3">
        <f>$D$10*$A32^3+$D$11*$A32^2+$D$12*$A32+$D$13</f>
        <v>37.461255910000034</v>
      </c>
      <c r="F32" s="2">
        <v>700</v>
      </c>
      <c r="G32" s="3">
        <f>$B$22*$F32^3+$B$23*$F32^2+$B$24*$F32+$B$25</f>
        <v>88.123449050000005</v>
      </c>
      <c r="H32" s="3">
        <f>$C$22*$F32^3+$C$23*$F32^2+$C$24*$F32+$C$25</f>
        <v>91.280664520000016</v>
      </c>
      <c r="I32" s="3">
        <f>$D$22*$F32^3+$D$23*$F32^2+$D$24*$F32+$D$25</f>
        <v>88.184535519999997</v>
      </c>
    </row>
    <row r="33" spans="1:9" x14ac:dyDescent="0.25">
      <c r="A33" s="1">
        <f>A32+10</f>
        <v>510</v>
      </c>
      <c r="B33" s="3">
        <f t="shared" ref="B33:B57" si="0">$B$10*$A33^3+$B$11*$A33^2+$B$12*$A33+$B$13</f>
        <v>40.41239465999999</v>
      </c>
      <c r="C33" s="3">
        <f t="shared" ref="C33:C57" si="1">$C$10*$A33^3+$C$11*$A33^2+$C$12*$A33+$C$13</f>
        <v>41.642802509999996</v>
      </c>
      <c r="D33" s="3">
        <f t="shared" ref="D33:D57" si="2">$D$10*$A33^3+$D$11*$A33^2+$D$12*$A33+$D$13</f>
        <v>39.837104310000001</v>
      </c>
      <c r="F33" s="2">
        <v>710</v>
      </c>
      <c r="G33" s="3">
        <f t="shared" ref="G33:G35" si="3">$B$22*$F33^3+$B$23*$F33^2+$B$24*$F33+$B$25</f>
        <v>90.687409550000012</v>
      </c>
      <c r="H33" s="3">
        <f t="shared" ref="H33:H35" si="4">$C$22*$F33^3+$C$23*$F33^2+$C$24*$F33+$C$25</f>
        <v>93.930839020000008</v>
      </c>
      <c r="I33" s="3">
        <f t="shared" ref="I33:I35" si="5">$D$22*$F33^3+$D$23*$F33^2+$D$24*$F33+$D$25</f>
        <v>90.806197220000001</v>
      </c>
    </row>
    <row r="34" spans="1:9" x14ac:dyDescent="0.25">
      <c r="A34" s="1">
        <f t="shared" ref="A34:A58" si="6">A33+10</f>
        <v>520</v>
      </c>
      <c r="B34" s="3">
        <f t="shared" si="0"/>
        <v>42.721144260000017</v>
      </c>
      <c r="C34" s="3">
        <f t="shared" si="1"/>
        <v>43.95830791000003</v>
      </c>
      <c r="D34" s="3">
        <f t="shared" si="2"/>
        <v>42.19688671000003</v>
      </c>
      <c r="F34" s="2">
        <v>720</v>
      </c>
      <c r="G34" s="3">
        <f t="shared" si="3"/>
        <v>93.267902050000004</v>
      </c>
      <c r="H34" s="3">
        <f t="shared" si="4"/>
        <v>96.591957519999994</v>
      </c>
      <c r="I34" s="3">
        <f t="shared" si="5"/>
        <v>93.445540920000013</v>
      </c>
    </row>
    <row r="35" spans="1:9" x14ac:dyDescent="0.25">
      <c r="A35" s="1">
        <f t="shared" si="6"/>
        <v>530</v>
      </c>
      <c r="B35" s="3">
        <f t="shared" si="0"/>
        <v>45.015463860000011</v>
      </c>
      <c r="C35" s="3">
        <f t="shared" si="1"/>
        <v>46.267885309999997</v>
      </c>
      <c r="D35" s="3">
        <f t="shared" si="2"/>
        <v>44.543483110000011</v>
      </c>
      <c r="F35" s="2">
        <v>730</v>
      </c>
      <c r="G35" s="3">
        <f t="shared" si="3"/>
        <v>95.865346549999998</v>
      </c>
      <c r="H35" s="3">
        <f t="shared" si="4"/>
        <v>99.263600020000013</v>
      </c>
      <c r="I35" s="3">
        <f t="shared" si="5"/>
        <v>96.102986619999996</v>
      </c>
    </row>
    <row r="36" spans="1:9" x14ac:dyDescent="0.25">
      <c r="A36" s="1">
        <f t="shared" si="6"/>
        <v>540</v>
      </c>
      <c r="B36" s="3">
        <f t="shared" si="0"/>
        <v>47.298173460000015</v>
      </c>
      <c r="C36" s="3">
        <f t="shared" si="1"/>
        <v>48.573694710000012</v>
      </c>
      <c r="D36" s="3">
        <f t="shared" si="2"/>
        <v>46.879773510000035</v>
      </c>
    </row>
    <row r="37" spans="1:9" x14ac:dyDescent="0.25">
      <c r="A37" s="1">
        <f t="shared" si="6"/>
        <v>550</v>
      </c>
      <c r="B37" s="3">
        <f t="shared" si="0"/>
        <v>49.572093060000043</v>
      </c>
      <c r="C37" s="3">
        <f t="shared" si="1"/>
        <v>50.877896110000023</v>
      </c>
      <c r="D37" s="3">
        <f t="shared" si="2"/>
        <v>49.208637910000022</v>
      </c>
    </row>
    <row r="38" spans="1:9" x14ac:dyDescent="0.25">
      <c r="A38" s="1">
        <f t="shared" si="6"/>
        <v>560</v>
      </c>
      <c r="B38" s="3">
        <f t="shared" si="0"/>
        <v>51.840042660000051</v>
      </c>
      <c r="C38" s="3">
        <f t="shared" si="1"/>
        <v>53.182649509999976</v>
      </c>
      <c r="D38" s="3">
        <f t="shared" si="2"/>
        <v>51.532956310000003</v>
      </c>
    </row>
    <row r="39" spans="1:9" x14ac:dyDescent="0.25">
      <c r="A39" s="1">
        <f t="shared" si="6"/>
        <v>570</v>
      </c>
      <c r="B39" s="3">
        <f t="shared" si="0"/>
        <v>54.104842259999998</v>
      </c>
      <c r="C39" s="3">
        <f t="shared" si="1"/>
        <v>55.490114909999988</v>
      </c>
      <c r="D39" s="3">
        <f t="shared" si="2"/>
        <v>53.855608710000041</v>
      </c>
    </row>
    <row r="40" spans="1:9" x14ac:dyDescent="0.25">
      <c r="A40" s="4">
        <f t="shared" si="6"/>
        <v>580</v>
      </c>
      <c r="B40" s="5">
        <f t="shared" si="0"/>
        <v>56.36931186000001</v>
      </c>
      <c r="C40" s="5">
        <f t="shared" si="1"/>
        <v>57.802452310000007</v>
      </c>
      <c r="D40" s="5">
        <f t="shared" si="2"/>
        <v>56.17947510999997</v>
      </c>
    </row>
    <row r="41" spans="1:9" x14ac:dyDescent="0.25">
      <c r="A41" s="4">
        <f t="shared" si="6"/>
        <v>590</v>
      </c>
      <c r="B41" s="5">
        <f t="shared" si="0"/>
        <v>58.636271460000017</v>
      </c>
      <c r="C41" s="5">
        <f t="shared" si="1"/>
        <v>60.121821710000034</v>
      </c>
      <c r="D41" s="5">
        <f t="shared" si="2"/>
        <v>58.50743551000005</v>
      </c>
    </row>
    <row r="42" spans="1:9" x14ac:dyDescent="0.25">
      <c r="A42" s="4">
        <f t="shared" si="6"/>
        <v>600</v>
      </c>
      <c r="B42" s="5">
        <f t="shared" si="0"/>
        <v>60.908541060000005</v>
      </c>
      <c r="C42" s="5">
        <f t="shared" si="1"/>
        <v>62.45038310999999</v>
      </c>
      <c r="D42" s="5">
        <f t="shared" si="2"/>
        <v>60.842369910000031</v>
      </c>
    </row>
    <row r="43" spans="1:9" x14ac:dyDescent="0.25">
      <c r="A43" s="4">
        <f t="shared" si="6"/>
        <v>610</v>
      </c>
      <c r="B43" s="5">
        <f t="shared" si="0"/>
        <v>63.188940659999986</v>
      </c>
      <c r="C43" s="5">
        <f t="shared" si="1"/>
        <v>64.790296510000047</v>
      </c>
      <c r="D43" s="5">
        <f t="shared" si="2"/>
        <v>63.187158310000001</v>
      </c>
    </row>
    <row r="44" spans="1:9" x14ac:dyDescent="0.25">
      <c r="A44" s="4">
        <f t="shared" si="6"/>
        <v>620</v>
      </c>
      <c r="B44" s="5">
        <f t="shared" si="0"/>
        <v>65.480290260000004</v>
      </c>
      <c r="C44" s="5">
        <f t="shared" si="1"/>
        <v>67.143721910000039</v>
      </c>
      <c r="D44" s="5">
        <f t="shared" si="2"/>
        <v>65.544680710000023</v>
      </c>
    </row>
    <row r="45" spans="1:9" x14ac:dyDescent="0.25">
      <c r="A45" s="1">
        <f t="shared" si="6"/>
        <v>630</v>
      </c>
      <c r="B45" s="3">
        <f t="shared" si="0"/>
        <v>67.785409860000016</v>
      </c>
      <c r="C45" s="3">
        <f t="shared" si="1"/>
        <v>69.512819309999998</v>
      </c>
      <c r="D45" s="3">
        <f t="shared" si="2"/>
        <v>67.917817110000016</v>
      </c>
    </row>
    <row r="46" spans="1:9" x14ac:dyDescent="0.25">
      <c r="A46" s="1">
        <f t="shared" si="6"/>
        <v>640</v>
      </c>
      <c r="B46" s="3">
        <f t="shared" si="0"/>
        <v>70.107119459999979</v>
      </c>
      <c r="C46" s="3">
        <f t="shared" si="1"/>
        <v>71.899748710000011</v>
      </c>
      <c r="D46" s="3">
        <f t="shared" si="2"/>
        <v>70.309447510000069</v>
      </c>
    </row>
    <row r="47" spans="1:9" x14ac:dyDescent="0.25">
      <c r="A47" s="1">
        <f t="shared" si="6"/>
        <v>650</v>
      </c>
      <c r="B47" s="3">
        <f t="shared" si="0"/>
        <v>72.44823906000002</v>
      </c>
      <c r="C47" s="3">
        <f t="shared" si="1"/>
        <v>74.306670110000056</v>
      </c>
      <c r="D47" s="3">
        <f t="shared" si="2"/>
        <v>72.722451910000046</v>
      </c>
    </row>
    <row r="48" spans="1:9" x14ac:dyDescent="0.25">
      <c r="A48" s="1">
        <f t="shared" si="6"/>
        <v>660</v>
      </c>
      <c r="B48" s="3">
        <f t="shared" si="0"/>
        <v>74.811588660000012</v>
      </c>
      <c r="C48" s="3">
        <f t="shared" si="1"/>
        <v>76.735743509999992</v>
      </c>
      <c r="D48" s="3">
        <f t="shared" si="2"/>
        <v>75.15971030999998</v>
      </c>
    </row>
    <row r="49" spans="1:4" x14ac:dyDescent="0.25">
      <c r="A49" s="1">
        <f t="shared" si="6"/>
        <v>670</v>
      </c>
      <c r="B49" s="3">
        <f t="shared" si="0"/>
        <v>77.199988259999998</v>
      </c>
      <c r="C49" s="3">
        <f t="shared" si="1"/>
        <v>79.189128909999994</v>
      </c>
      <c r="D49" s="3">
        <f t="shared" si="2"/>
        <v>77.624102710000045</v>
      </c>
    </row>
    <row r="50" spans="1:4" x14ac:dyDescent="0.25">
      <c r="A50" s="1">
        <f t="shared" si="6"/>
        <v>680</v>
      </c>
      <c r="B50" s="3">
        <f t="shared" si="0"/>
        <v>79.61625785999999</v>
      </c>
      <c r="C50" s="3">
        <f t="shared" si="1"/>
        <v>81.668986310000008</v>
      </c>
      <c r="D50" s="3">
        <f t="shared" si="2"/>
        <v>80.118509110000048</v>
      </c>
    </row>
    <row r="51" spans="1:4" x14ac:dyDescent="0.25">
      <c r="A51" s="1">
        <f t="shared" si="6"/>
        <v>690</v>
      </c>
      <c r="B51" s="3">
        <f t="shared" si="0"/>
        <v>82.063217459999976</v>
      </c>
      <c r="C51" s="3">
        <f t="shared" si="1"/>
        <v>84.177475709999982</v>
      </c>
      <c r="D51" s="3">
        <f t="shared" si="2"/>
        <v>82.645809509999992</v>
      </c>
    </row>
    <row r="52" spans="1:4" x14ac:dyDescent="0.25">
      <c r="A52" s="1">
        <f t="shared" si="6"/>
        <v>700</v>
      </c>
      <c r="B52" s="3">
        <f t="shared" si="0"/>
        <v>84.543687059999996</v>
      </c>
      <c r="C52" s="3">
        <f t="shared" si="1"/>
        <v>86.716757110000032</v>
      </c>
      <c r="D52" s="3">
        <f t="shared" si="2"/>
        <v>85.208883910000026</v>
      </c>
    </row>
    <row r="53" spans="1:4" x14ac:dyDescent="0.25">
      <c r="A53" s="1">
        <f t="shared" si="6"/>
        <v>710</v>
      </c>
      <c r="B53" s="3">
        <f t="shared" si="0"/>
        <v>87.060486659999981</v>
      </c>
      <c r="C53" s="3">
        <f t="shared" si="1"/>
        <v>89.288990510000048</v>
      </c>
      <c r="D53" s="3">
        <f t="shared" si="2"/>
        <v>87.81061231000001</v>
      </c>
    </row>
    <row r="54" spans="1:4" x14ac:dyDescent="0.25">
      <c r="A54" s="1">
        <f t="shared" si="6"/>
        <v>720</v>
      </c>
      <c r="B54" s="3">
        <f t="shared" si="0"/>
        <v>89.61643626</v>
      </c>
      <c r="C54" s="3">
        <f t="shared" si="1"/>
        <v>91.896335910000033</v>
      </c>
      <c r="D54" s="3">
        <f t="shared" si="2"/>
        <v>90.453874710000036</v>
      </c>
    </row>
    <row r="55" spans="1:4" x14ac:dyDescent="0.25">
      <c r="A55" s="1">
        <f t="shared" si="6"/>
        <v>730</v>
      </c>
      <c r="B55" s="3">
        <f t="shared" si="0"/>
        <v>92.214355860000012</v>
      </c>
      <c r="C55" s="3">
        <f t="shared" si="1"/>
        <v>94.54095331000002</v>
      </c>
      <c r="D55" s="3">
        <f t="shared" si="2"/>
        <v>93.141551110000051</v>
      </c>
    </row>
    <row r="56" spans="1:4" x14ac:dyDescent="0.25">
      <c r="A56" s="1">
        <f t="shared" si="6"/>
        <v>740</v>
      </c>
      <c r="B56" s="3">
        <f t="shared" si="0"/>
        <v>94.857065460000058</v>
      </c>
      <c r="C56" s="3">
        <f t="shared" si="1"/>
        <v>97.225002710000012</v>
      </c>
      <c r="D56" s="3">
        <f t="shared" si="2"/>
        <v>95.876521510000003</v>
      </c>
    </row>
    <row r="57" spans="1:4" x14ac:dyDescent="0.25">
      <c r="A57" s="1">
        <f t="shared" si="6"/>
        <v>750</v>
      </c>
      <c r="B57" s="3">
        <f t="shared" si="0"/>
        <v>97.547385059999954</v>
      </c>
      <c r="C57" s="3">
        <f t="shared" si="1"/>
        <v>99.950644110000013</v>
      </c>
      <c r="D57" s="3">
        <f t="shared" si="2"/>
        <v>98.661665910000039</v>
      </c>
    </row>
    <row r="58" spans="1:4" x14ac:dyDescent="0.25">
      <c r="A58" s="2">
        <f t="shared" si="6"/>
        <v>760</v>
      </c>
      <c r="B58" s="3">
        <f>$B$10*$A58^3+$B$11*$A58^2+$B$12*$A58+$B$13</f>
        <v>100.28813465999997</v>
      </c>
      <c r="C58" s="3">
        <f>$C$10*$A58^3+$C$11*$A58^2+$C$12*$A58+$C$13</f>
        <v>102.72003751000003</v>
      </c>
      <c r="D58" s="3">
        <f>$D$10*$A58^3+$D$11*$A58^2+$D$12*$A58+$D$13</f>
        <v>101.49986431000005</v>
      </c>
    </row>
  </sheetData>
  <mergeCells count="10">
    <mergeCell ref="A1:K1"/>
    <mergeCell ref="A3:K3"/>
    <mergeCell ref="A17:K17"/>
    <mergeCell ref="A7:K7"/>
    <mergeCell ref="A4:K5"/>
    <mergeCell ref="A29:D29"/>
    <mergeCell ref="F29:I29"/>
    <mergeCell ref="A27:K27"/>
    <mergeCell ref="A19:K19"/>
    <mergeCell ref="A15:K1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summary</vt:lpstr>
      <vt:lpstr>tek 3-4 dag calib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nielss</dc:creator>
  <cp:lastModifiedBy>nielss</cp:lastModifiedBy>
  <cp:lastPrinted>2024-09-16T15:00:21Z</cp:lastPrinted>
  <dcterms:created xsi:type="dcterms:W3CDTF">2024-09-12T14:43:07Z</dcterms:created>
  <dcterms:modified xsi:type="dcterms:W3CDTF">2024-09-16T15:05:25Z</dcterms:modified>
</cp:coreProperties>
</file>